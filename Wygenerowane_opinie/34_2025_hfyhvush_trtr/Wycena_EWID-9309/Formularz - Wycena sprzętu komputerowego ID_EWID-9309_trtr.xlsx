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z" sheetId="1" state="visible" r:id="rId1"/>
    <sheet xmlns:r="http://schemas.openxmlformats.org/officeDocument/2006/relationships" name="Wycena oraz link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color rgb="000563C1"/>
      <u val="single"/>
    </font>
    <font>
      <name val="Trebuchet MS"/>
      <sz val="11"/>
    </font>
    <font>
      <name val="Trebuchet MS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wrapText="1"/>
    </xf>
    <xf numFmtId="0" fontId="2" fillId="0" borderId="1" applyAlignment="1" pivotButton="0" quotePrefix="0" xfId="1">
      <alignment horizontal="left"/>
    </xf>
    <xf numFmtId="0" fontId="0" fillId="2" borderId="1" applyAlignment="1" pivotButton="0" quotePrefix="0" xfId="0">
      <alignment wrapText="1"/>
    </xf>
    <xf numFmtId="164" fontId="0" fillId="2" borderId="1" applyAlignment="1" pivotButton="0" quotePrefix="0" xfId="0">
      <alignment wrapText="1"/>
    </xf>
    <xf numFmtId="164" fontId="0" fillId="0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idcom.eu/cennik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8.43" customWidth="1" min="1" max="1"/>
    <col width="23.86" customWidth="1" min="2" max="2"/>
    <col width="10.43" customWidth="1" min="3" max="3"/>
    <col width="8.43" customWidth="1" min="4" max="4"/>
    <col width="8.43" customWidth="1" min="5" max="5"/>
    <col width="5.43" customWidth="1" min="6" max="6"/>
    <col width="18.14" customWidth="1" min="7" max="7"/>
  </cols>
  <sheetData>
    <row r="1">
      <c r="A1" s="1" t="n"/>
      <c r="B1" s="1" t="n"/>
      <c r="C1" s="2" t="n"/>
      <c r="D1" s="1" t="n"/>
      <c r="E1" s="2" t="n"/>
      <c r="F1" s="2" t="n"/>
      <c r="G1" s="1" t="n"/>
    </row>
    <row r="2">
      <c r="A2" s="3" t="inlineStr">
        <is>
          <t>Departament Korporacyjny Informatyki</t>
        </is>
      </c>
      <c r="B2" s="1" t="n"/>
      <c r="C2" s="2" t="n"/>
      <c r="D2" s="1" t="n"/>
      <c r="E2" s="2" t="inlineStr">
        <is>
          <t>Tarnów, dn. 14.10.2025</t>
        </is>
      </c>
      <c r="F2" s="2" t="n"/>
      <c r="G2" s="1" t="n"/>
    </row>
    <row r="3">
      <c r="A3" s="3" t="inlineStr">
        <is>
          <t>Zespół Serwisu IT</t>
        </is>
      </c>
      <c r="B3" s="1" t="n"/>
      <c r="C3" s="2" t="n"/>
      <c r="D3" s="1" t="n"/>
      <c r="E3" s="2" t="n"/>
      <c r="F3" s="2" t="n"/>
      <c r="G3" s="1" t="n"/>
    </row>
    <row r="4">
      <c r="A4" s="1" t="n"/>
      <c r="B4" s="1" t="n"/>
      <c r="C4" s="2" t="n"/>
      <c r="D4" s="1" t="n"/>
      <c r="E4" s="2" t="n"/>
      <c r="F4" s="2" t="n"/>
      <c r="G4" s="1" t="n"/>
    </row>
    <row r="5">
      <c r="A5" s="1" t="n"/>
      <c r="B5" s="1" t="n"/>
      <c r="C5" s="2" t="n"/>
      <c r="D5" s="1" t="n"/>
      <c r="E5" s="2" t="n"/>
      <c r="F5" s="2" t="n"/>
      <c r="G5" s="1" t="n"/>
    </row>
    <row r="6">
      <c r="A6" s="4" t="inlineStr">
        <is>
          <t>Wycena sprzętu komputerowego</t>
        </is>
      </c>
      <c r="B6" s="1" t="n"/>
      <c r="C6" s="2" t="n"/>
      <c r="D6" s="1" t="n"/>
      <c r="E6" s="2" t="n"/>
      <c r="F6" s="2" t="n"/>
      <c r="G6" s="1" t="n"/>
    </row>
    <row r="7">
      <c r="A7" s="1" t="n"/>
      <c r="B7" s="1" t="n"/>
      <c r="C7" s="2" t="n"/>
      <c r="D7" s="1" t="n"/>
      <c r="E7" s="2" t="n"/>
      <c r="F7" s="2" t="n"/>
      <c r="G7" s="1" t="n"/>
    </row>
    <row r="8">
      <c r="A8" s="1" t="n"/>
      <c r="B8" s="1" t="n"/>
      <c r="C8" s="2" t="n"/>
      <c r="D8" s="1" t="n"/>
      <c r="E8" s="2" t="n"/>
      <c r="F8" s="2" t="n"/>
      <c r="G8" s="1" t="n"/>
    </row>
    <row r="9">
      <c r="A9" s="2" t="inlineStr">
        <is>
          <t>nr /2025 do opinii nr 34/2025</t>
        </is>
      </c>
      <c r="B9" s="1" t="n"/>
      <c r="C9" s="2" t="n"/>
      <c r="D9" s="1" t="n"/>
      <c r="E9" s="2" t="n"/>
      <c r="F9" s="2" t="n"/>
      <c r="G9" s="1" t="n"/>
    </row>
    <row r="10">
      <c r="A10" s="1" t="n"/>
      <c r="B10" s="1" t="n"/>
      <c r="C10" s="2" t="n"/>
      <c r="D10" s="1" t="n"/>
      <c r="E10" s="2" t="n"/>
      <c r="F10" s="2" t="n"/>
      <c r="G10" s="1" t="n"/>
    </row>
    <row r="11">
      <c r="A11" s="1" t="n"/>
      <c r="B11" s="1" t="n"/>
      <c r="C11" s="2" t="n"/>
      <c r="D11" s="1" t="n"/>
      <c r="E11" s="2" t="n"/>
      <c r="F11" s="2" t="n"/>
      <c r="G11" s="1" t="n"/>
    </row>
    <row r="12">
      <c r="A12" s="1" t="n"/>
      <c r="B12" s="1" t="n"/>
      <c r="C12" s="2" t="n"/>
      <c r="D12" s="1" t="n"/>
      <c r="E12" s="2" t="n"/>
      <c r="F12" s="2" t="n"/>
      <c r="G12" s="1" t="n"/>
    </row>
    <row r="13">
      <c r="A13" s="5" t="inlineStr">
        <is>
          <t>Nazwa sprzętu z MPK użytkownika</t>
        </is>
      </c>
      <c r="B13" s="1" t="n"/>
      <c r="C13" s="2" t="inlineStr"/>
      <c r="D13" s="1" t="n"/>
      <c r="E13" s="2" t="n"/>
      <c r="F13" s="2" t="n"/>
      <c r="G13" s="1" t="n"/>
    </row>
    <row r="14">
      <c r="A14" s="3" t="inlineStr">
        <is>
          <t>NR SAP/SAT</t>
        </is>
      </c>
      <c r="B14" s="1" t="n"/>
      <c r="C14" s="2" t="inlineStr">
        <is>
          <t>ST-163/70</t>
        </is>
      </c>
      <c r="D14" s="1" t="n"/>
      <c r="E14" s="2" t="n"/>
      <c r="F14" s="2" t="n"/>
      <c r="G14" s="1" t="n"/>
    </row>
    <row r="15">
      <c r="A15" s="3" t="inlineStr">
        <is>
          <t>NR Inw.</t>
        </is>
      </c>
      <c r="B15" s="1" t="n"/>
      <c r="C15" s="2" t="inlineStr">
        <is>
          <t>712-38429</t>
        </is>
      </c>
      <c r="D15" s="1" t="n"/>
      <c r="E15" s="2" t="n"/>
      <c r="F15" s="2" t="n"/>
      <c r="G15" s="1" t="n"/>
    </row>
    <row r="16">
      <c r="A16" s="1" t="n"/>
      <c r="B16" s="1" t="n"/>
      <c r="C16" s="2" t="n"/>
      <c r="D16" s="1" t="n"/>
      <c r="E16" s="2" t="n"/>
      <c r="F16" s="2" t="n"/>
      <c r="G16" s="1" t="n"/>
    </row>
    <row r="17">
      <c r="A17" s="3" t="inlineStr">
        <is>
          <t>Marka:</t>
        </is>
      </c>
      <c r="B17" s="1" t="n"/>
      <c r="C17" s="2" t="inlineStr">
        <is>
          <t>Dellefdf</t>
        </is>
      </c>
      <c r="D17" s="1" t="n"/>
      <c r="E17" s="2" t="n"/>
      <c r="F17" s="2" t="n"/>
      <c r="G17" s="1" t="n"/>
    </row>
    <row r="18">
      <c r="A18" s="3" t="inlineStr">
        <is>
          <t>Model:</t>
        </is>
      </c>
      <c r="B18" s="1" t="n"/>
      <c r="C18" s="2" t="inlineStr">
        <is>
          <t>ROG Strix</t>
        </is>
      </c>
      <c r="D18" s="1" t="n"/>
      <c r="E18" s="2" t="n"/>
      <c r="F18" s="2" t="n"/>
      <c r="G18" s="1" t="n"/>
    </row>
    <row r="19">
      <c r="A19" s="3" t="inlineStr">
        <is>
          <t>Typ:</t>
        </is>
      </c>
      <c r="B19" s="1" t="n"/>
      <c r="C19" s="2" t="inlineStr">
        <is>
          <t>Notebook</t>
        </is>
      </c>
      <c r="D19" s="1" t="n"/>
      <c r="E19" s="2" t="n"/>
      <c r="F19" s="2" t="n"/>
      <c r="G19" s="1" t="n"/>
    </row>
    <row r="20">
      <c r="A20" s="3" t="inlineStr">
        <is>
          <t>Nr Seryjny:</t>
        </is>
      </c>
      <c r="B20" s="1" t="n"/>
      <c r="C20" s="2" t="inlineStr">
        <is>
          <t>SN-77552-xxFk</t>
        </is>
      </c>
      <c r="D20" s="1" t="n"/>
      <c r="E20" s="2" t="n"/>
      <c r="F20" s="2" t="n"/>
      <c r="G20" s="1" t="n"/>
    </row>
    <row r="21">
      <c r="A21" s="3" t="inlineStr">
        <is>
          <t>Okres eksploatacji</t>
        </is>
      </c>
      <c r="B21" s="1" t="n"/>
      <c r="C21" s="2" t="inlineStr">
        <is>
          <t>2 lata</t>
        </is>
      </c>
      <c r="D21" s="1" t="n"/>
      <c r="E21" s="2" t="n"/>
      <c r="F21" s="2" t="n"/>
      <c r="G21" s="1" t="n"/>
    </row>
    <row r="22">
      <c r="A22" s="3" t="inlineStr">
        <is>
          <t>Parametry:</t>
        </is>
      </c>
      <c r="B22" s="1" t="n"/>
      <c r="C22" s="2" t="n"/>
      <c r="D22" s="1" t="n"/>
      <c r="E22" s="2" t="n"/>
      <c r="F22" s="2" t="n"/>
      <c r="G22" s="1" t="n"/>
    </row>
    <row r="23">
      <c r="A23" s="1" t="n"/>
      <c r="B23" s="3" t="inlineStr">
        <is>
          <t>Procesor:</t>
        </is>
      </c>
      <c r="C23" s="2" t="inlineStr">
        <is>
          <t>Intel i5-12400</t>
        </is>
      </c>
      <c r="D23" s="1" t="n"/>
      <c r="E23" s="2" t="n"/>
      <c r="F23" s="2" t="n"/>
      <c r="G23" s="1" t="n"/>
    </row>
    <row r="24">
      <c r="A24" s="1" t="n"/>
      <c r="B24" s="3" t="inlineStr">
        <is>
          <t>Płyta główna:</t>
        </is>
      </c>
      <c r="C24" s="2" t="inlineStr">
        <is>
          <t>Dellefdf</t>
        </is>
      </c>
      <c r="D24" s="1" t="n"/>
      <c r="E24" s="2" t="n"/>
      <c r="F24" s="2" t="n"/>
      <c r="G24" s="1" t="n"/>
    </row>
    <row r="25">
      <c r="A25" s="1" t="n"/>
      <c r="B25" s="3" t="inlineStr">
        <is>
          <t>RAM:</t>
        </is>
      </c>
      <c r="C25" s="2" t="inlineStr">
        <is>
          <t>32 GB GB</t>
        </is>
      </c>
      <c r="D25" s="1" t="n"/>
      <c r="E25" s="2" t="n"/>
      <c r="F25" s="2" t="n"/>
      <c r="G25" s="1" t="n"/>
    </row>
    <row r="26">
      <c r="A26" s="1" t="n"/>
      <c r="B26" s="3" t="inlineStr">
        <is>
          <t>Grafika:</t>
        </is>
      </c>
      <c r="C26" s="2" t="inlineStr">
        <is>
          <t>Zintegrowana</t>
        </is>
      </c>
      <c r="D26" s="1" t="n"/>
      <c r="E26" s="2" t="n"/>
      <c r="F26" s="2" t="n"/>
      <c r="G26" s="1" t="n"/>
    </row>
    <row r="27">
      <c r="A27" s="1" t="n"/>
      <c r="B27" s="3" t="inlineStr">
        <is>
          <t>Dysk:</t>
        </is>
      </c>
      <c r="C27" s="2" t="inlineStr">
        <is>
          <t>512 GB GB</t>
        </is>
      </c>
      <c r="D27" s="1" t="n"/>
      <c r="E27" s="2" t="n"/>
      <c r="F27" s="2" t="n"/>
      <c r="G27" s="1" t="n"/>
    </row>
    <row r="28">
      <c r="A28" s="1" t="n"/>
      <c r="B28" s="3" t="inlineStr">
        <is>
          <t>System operacyjny:</t>
        </is>
      </c>
      <c r="C28" s="2" t="inlineStr">
        <is>
          <t>Windows 11</t>
        </is>
      </c>
      <c r="D28" s="1" t="n"/>
      <c r="E28" s="2" t="n"/>
      <c r="F28" s="2" t="n"/>
      <c r="G28" s="1" t="n"/>
    </row>
    <row r="29">
      <c r="A29" s="1" t="n"/>
      <c r="B29" s="1" t="n"/>
      <c r="C29" s="2" t="n"/>
      <c r="D29" s="1" t="n"/>
      <c r="E29" s="2" t="n"/>
      <c r="F29" s="2" t="n"/>
      <c r="G29" s="1" t="n"/>
    </row>
    <row r="30">
      <c r="A30" s="3" t="inlineStr">
        <is>
          <t>Stan techniczny:</t>
        </is>
      </c>
      <c r="B30" s="1" t="n"/>
      <c r="C30" s="2" t="inlineStr">
        <is>
          <t>Dobry, normalne ślady użytkowania</t>
        </is>
      </c>
      <c r="D30" s="1" t="n"/>
      <c r="E30" s="2" t="n"/>
      <c r="F30" s="2" t="n"/>
      <c r="G30" s="1" t="n"/>
    </row>
    <row r="31" ht="49.5" customHeight="1">
      <c r="A31" s="3" t="inlineStr">
        <is>
          <t>Uwagi do stanu technicznego:</t>
        </is>
      </c>
      <c r="B31" s="1" t="n"/>
      <c r="C31" s="6" t="inlineStr">
        <is>
          <t>Należy wykonać czyszczenie układu chłodzenia oraz wymienić baterię</t>
        </is>
      </c>
      <c r="D31" s="1" t="n"/>
      <c r="E31" s="2" t="n"/>
      <c r="F31" s="2" t="n"/>
      <c r="G31" s="1" t="n"/>
    </row>
    <row r="32">
      <c r="A32" s="1" t="n"/>
      <c r="B32" s="1" t="n"/>
      <c r="C32" s="2" t="n"/>
      <c r="D32" s="1" t="n"/>
      <c r="E32" s="2" t="n"/>
      <c r="F32" s="2" t="n"/>
      <c r="G32" s="1" t="n"/>
    </row>
    <row r="33" ht="51.75" customHeight="1">
      <c r="A33" s="3" t="inlineStr">
        <is>
          <t>Wycena rynkowa netto sprzętu 
(o takiej samej lub podobnej konfiguracji):</t>
        </is>
      </c>
      <c r="B33" s="1" t="n"/>
      <c r="C33" s="7">
        <f>'Wycena oraz linki'!B14</f>
        <v/>
      </c>
      <c r="D33" s="1" t="n"/>
      <c r="E33" s="2" t="n"/>
      <c r="F33" s="2" t="n"/>
      <c r="G33" s="1" t="n"/>
    </row>
    <row r="34">
      <c r="A34" s="1" t="n"/>
      <c r="B34" s="1" t="n"/>
      <c r="C34" s="2" t="n"/>
      <c r="D34" s="1" t="n"/>
      <c r="E34" s="2" t="n"/>
      <c r="F34" s="2" t="n"/>
      <c r="G34" s="1" t="n"/>
    </row>
    <row r="35" ht="53.25" customHeight="1">
      <c r="A35" s="3" t="inlineStr">
        <is>
          <t>Wycena rynkowa netto po uwzględnieniu uwag dot. stanu technicznego</t>
        </is>
      </c>
      <c r="B35" s="1" t="n"/>
      <c r="C35" s="7">
        <f>'Wycena oraz linki'!B29</f>
        <v/>
      </c>
      <c r="D35" s="1" t="n"/>
      <c r="E35" s="2" t="n"/>
      <c r="F35" s="2" t="n"/>
      <c r="G35" s="1" t="n"/>
    </row>
    <row r="36">
      <c r="A36" s="1" t="n"/>
      <c r="B36" s="1" t="n"/>
      <c r="C36" s="2" t="n"/>
      <c r="D36" s="1" t="n"/>
      <c r="E36" s="2" t="n"/>
      <c r="F36" s="2" t="n"/>
      <c r="G36" s="1" t="n"/>
    </row>
    <row r="37">
      <c r="A37" s="1" t="n"/>
      <c r="B37" s="1" t="n"/>
      <c r="C37" s="2" t="n"/>
      <c r="D37" s="1" t="n"/>
      <c r="E37" s="2" t="n"/>
      <c r="F37" s="2" t="n"/>
      <c r="G37" s="1" t="n"/>
    </row>
    <row r="38">
      <c r="A38" s="3" t="inlineStr">
        <is>
          <t>Wycenił:</t>
        </is>
      </c>
      <c r="B38" s="1" t="n"/>
      <c r="C38" s="2" t="inlineStr">
        <is>
          <t>Sprawdził:</t>
        </is>
      </c>
      <c r="D38" s="1" t="n"/>
      <c r="E38" s="2" t="n"/>
      <c r="F38" s="2" t="inlineStr">
        <is>
          <t>Zatwierdził:</t>
        </is>
      </c>
      <c r="G38" s="1" t="n"/>
    </row>
    <row r="39">
      <c r="C39" s="8" t="n"/>
      <c r="E39" s="8" t="n"/>
      <c r="F39" s="8" t="n"/>
    </row>
    <row r="40">
      <c r="C40" s="8" t="n"/>
      <c r="E40" s="8" t="n"/>
      <c r="F40" s="8" t="n"/>
    </row>
    <row r="41">
      <c r="C41" s="8" t="n"/>
      <c r="E41" s="8" t="n"/>
      <c r="F41" s="8" t="n"/>
    </row>
    <row r="42">
      <c r="C42" s="8" t="n"/>
      <c r="E42" s="8" t="n"/>
      <c r="F42" s="8" t="n"/>
    </row>
    <row r="43">
      <c r="C43" s="8" t="n"/>
      <c r="E43" s="8" t="n"/>
      <c r="F43" s="8" t="n"/>
    </row>
    <row r="44">
      <c r="C44" s="8" t="n"/>
      <c r="E44" s="8" t="n"/>
      <c r="F44" s="8" t="n"/>
    </row>
    <row r="45">
      <c r="C45" s="8" t="n"/>
      <c r="E45" s="8" t="n"/>
      <c r="F45" s="8" t="n"/>
    </row>
    <row r="46">
      <c r="C46" s="8" t="n"/>
      <c r="E46" s="8" t="n"/>
      <c r="F46" s="8" t="n"/>
    </row>
    <row r="47">
      <c r="C47" s="8" t="n"/>
      <c r="E47" s="8" t="n"/>
      <c r="F47" s="8" t="n"/>
    </row>
    <row r="48">
      <c r="C48" s="8" t="n"/>
      <c r="E48" s="8" t="n"/>
      <c r="F48" s="8" t="n"/>
    </row>
    <row r="49">
      <c r="C49" s="8" t="n"/>
      <c r="E49" s="8" t="n"/>
      <c r="F49" s="8" t="n"/>
    </row>
  </sheetData>
  <mergeCells count="39">
    <mergeCell ref="A30:B30"/>
    <mergeCell ref="C30:G30"/>
    <mergeCell ref="A15:B15"/>
    <mergeCell ref="C24:G24"/>
    <mergeCell ref="C15:G15"/>
    <mergeCell ref="C33:G33"/>
    <mergeCell ref="C14:G14"/>
    <mergeCell ref="C26:G26"/>
    <mergeCell ref="A6:G7"/>
    <mergeCell ref="C35:G35"/>
    <mergeCell ref="E2:G2"/>
    <mergeCell ref="C20:G20"/>
    <mergeCell ref="A9:G9"/>
    <mergeCell ref="C25:G25"/>
    <mergeCell ref="C31:G31"/>
    <mergeCell ref="A18:B18"/>
    <mergeCell ref="A3:B3"/>
    <mergeCell ref="A21:B21"/>
    <mergeCell ref="C21:G21"/>
    <mergeCell ref="F38:G38"/>
    <mergeCell ref="A33:B33"/>
    <mergeCell ref="C27:G27"/>
    <mergeCell ref="A14:B14"/>
    <mergeCell ref="A17:B17"/>
    <mergeCell ref="C23:G23"/>
    <mergeCell ref="A22:B22"/>
    <mergeCell ref="C17:G17"/>
    <mergeCell ref="A35:B35"/>
    <mergeCell ref="A20:B20"/>
    <mergeCell ref="A38:B38"/>
    <mergeCell ref="C38:D38"/>
    <mergeCell ref="A19:B19"/>
    <mergeCell ref="C28:G28"/>
    <mergeCell ref="A13:B13"/>
    <mergeCell ref="C19:G19"/>
    <mergeCell ref="A2:D2"/>
    <mergeCell ref="C13:G13"/>
    <mergeCell ref="A31:B31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3.86" customWidth="1" min="1" max="1"/>
    <col width="23.86" customWidth="1" min="2" max="2"/>
    <col width="19.43" customWidth="1" min="3" max="3"/>
    <col width="49" customWidth="1" min="4" max="4"/>
  </cols>
  <sheetData>
    <row r="1">
      <c r="D1" s="9" t="n"/>
    </row>
    <row r="2" ht="33" customHeight="1">
      <c r="A2" s="10" t="inlineStr">
        <is>
          <t>Wycena rynkowa netto sprzętu (od takiej samej lub podobnej konfiguracji):</t>
        </is>
      </c>
      <c r="B2" s="11" t="n"/>
      <c r="C2" s="11" t="n"/>
      <c r="D2" s="12" t="inlineStr">
        <is>
          <t>Linki do wyceny sprzętu</t>
        </is>
      </c>
    </row>
    <row r="3">
      <c r="A3" s="11" t="n">
        <v>1</v>
      </c>
      <c r="B3" s="13" t="inlineStr"/>
      <c r="C3" s="11" t="n"/>
      <c r="D3" s="14" t="inlineStr"/>
    </row>
    <row r="4">
      <c r="A4" s="11" t="n">
        <v>2</v>
      </c>
      <c r="B4" s="13" t="inlineStr"/>
      <c r="C4" s="11" t="n"/>
      <c r="D4" s="14" t="inlineStr"/>
    </row>
    <row r="5">
      <c r="A5" s="11" t="n">
        <v>3</v>
      </c>
      <c r="B5" s="13" t="inlineStr"/>
      <c r="C5" s="11" t="n"/>
      <c r="D5" s="14" t="inlineStr"/>
    </row>
    <row r="6">
      <c r="A6" s="11" t="n">
        <v>4</v>
      </c>
      <c r="B6" s="13" t="inlineStr"/>
      <c r="C6" s="11" t="n"/>
      <c r="D6" s="14" t="inlineStr"/>
    </row>
    <row r="7">
      <c r="A7" s="11" t="n">
        <v>5</v>
      </c>
      <c r="B7" s="13" t="inlineStr"/>
      <c r="C7" s="11" t="n"/>
      <c r="D7" s="14" t="inlineStr"/>
    </row>
    <row r="8">
      <c r="A8" s="11" t="n">
        <v>6</v>
      </c>
      <c r="B8" s="13" t="inlineStr"/>
      <c r="C8" s="11" t="n"/>
      <c r="D8" s="14" t="inlineStr"/>
    </row>
    <row r="9">
      <c r="A9" s="11" t="n">
        <v>7</v>
      </c>
      <c r="B9" s="13" t="inlineStr"/>
      <c r="C9" s="11" t="n"/>
      <c r="D9" s="14" t="inlineStr"/>
    </row>
    <row r="10">
      <c r="A10" s="11" t="n">
        <v>8</v>
      </c>
      <c r="B10" s="13" t="inlineStr"/>
      <c r="C10" s="11" t="n"/>
      <c r="D10" s="14" t="inlineStr"/>
    </row>
    <row r="11">
      <c r="A11" s="11" t="n">
        <v>9</v>
      </c>
      <c r="B11" s="13" t="inlineStr"/>
      <c r="C11" s="11" t="n"/>
      <c r="D11" s="14" t="inlineStr"/>
    </row>
    <row r="12">
      <c r="A12" s="11" t="n">
        <v>10</v>
      </c>
      <c r="B12" s="13" t="inlineStr"/>
      <c r="C12" s="11" t="n"/>
      <c r="D12" s="14" t="inlineStr"/>
    </row>
    <row r="13">
      <c r="A13" s="10" t="inlineStr">
        <is>
          <t>Średnia brutto</t>
        </is>
      </c>
      <c r="B13" s="13">
        <f>IFERROR(AVERAGEIF(B3:B12,"&lt;&gt;"), 0)</f>
        <v/>
      </c>
      <c r="C13" s="11" t="n"/>
      <c r="D13" s="12" t="n"/>
    </row>
    <row r="14">
      <c r="A14" s="15" t="inlineStr">
        <is>
          <t>Średnia netto</t>
        </is>
      </c>
      <c r="B14" s="16">
        <f>IFERROR(B13/1.23, 0)</f>
        <v/>
      </c>
      <c r="C14" s="11" t="n"/>
      <c r="D14" s="12" t="n"/>
    </row>
    <row r="15">
      <c r="D15" s="9" t="n"/>
    </row>
    <row r="16">
      <c r="D16" s="9" t="n"/>
    </row>
    <row r="17">
      <c r="D17" s="9" t="n"/>
    </row>
    <row r="18" ht="30" customHeight="1">
      <c r="A18" s="10" t="inlineStr">
        <is>
          <t>Wycena uszkodzonych elementów</t>
        </is>
      </c>
      <c r="B18" s="11" t="n"/>
      <c r="C18" s="10" t="inlineStr">
        <is>
          <t>Nazwa elementu/usługi</t>
        </is>
      </c>
      <c r="D18" s="12" t="inlineStr">
        <is>
          <t>Linki do wyceny uszkodzonych elementów</t>
        </is>
      </c>
    </row>
    <row r="19" ht="30" customHeight="1">
      <c r="A19" s="11" t="n">
        <v>1</v>
      </c>
      <c r="B19" s="17" t="n">
        <v>180</v>
      </c>
      <c r="C19" s="10" t="inlineStr">
        <is>
          <t>Czyszczenie układu chłodzenia</t>
        </is>
      </c>
      <c r="D19" s="14" t="inlineStr">
        <is>
          <t>https://aidcom.eu/cennik/</t>
        </is>
      </c>
    </row>
    <row r="20">
      <c r="A20" s="11" t="n"/>
      <c r="B20" s="11" t="n"/>
      <c r="C20" s="11" t="n"/>
      <c r="D20" s="12" t="n"/>
    </row>
    <row r="21">
      <c r="A21" s="11" t="n"/>
      <c r="B21" s="11" t="n"/>
      <c r="C21" s="11" t="n"/>
      <c r="D21" s="12" t="n"/>
    </row>
    <row r="22">
      <c r="A22" s="11" t="n"/>
      <c r="B22" s="11" t="n"/>
      <c r="C22" s="11" t="n"/>
      <c r="D22" s="12" t="n"/>
    </row>
    <row r="23">
      <c r="A23" s="11" t="n"/>
      <c r="B23" s="11" t="n"/>
      <c r="C23" s="11" t="n"/>
      <c r="D23" s="12" t="n"/>
    </row>
    <row r="24">
      <c r="A24" s="11" t="n"/>
      <c r="B24" s="11" t="n"/>
      <c r="C24" s="11" t="n"/>
      <c r="D24" s="12" t="n"/>
    </row>
    <row r="25">
      <c r="A25" s="10" t="inlineStr">
        <is>
          <t>Suma brutto</t>
        </is>
      </c>
      <c r="B25" s="13">
        <f>IFERROR(SUM(B19:B24), 0)</f>
        <v/>
      </c>
      <c r="C25" s="11" t="n"/>
      <c r="D25" s="12" t="n"/>
    </row>
    <row r="26">
      <c r="A26" s="15" t="inlineStr">
        <is>
          <t>Suma netto</t>
        </is>
      </c>
      <c r="B26" s="16">
        <f>IFERROR(B25/1.23, 0)</f>
        <v/>
      </c>
      <c r="C26" s="11" t="n"/>
      <c r="D26" s="12" t="n"/>
    </row>
    <row r="27">
      <c r="D27" s="9" t="n"/>
    </row>
    <row r="28">
      <c r="D28" s="9" t="n"/>
    </row>
    <row r="29" ht="60" customHeight="1">
      <c r="A29" s="15" t="inlineStr">
        <is>
          <t>Wycena rynkowa netto po uwzględnieniu uwag dot. stanu technicznego i różnic w konfiguracji</t>
        </is>
      </c>
      <c r="B29" s="16">
        <f>B14-B26</f>
        <v/>
      </c>
      <c r="D29" s="9" t="n"/>
    </row>
    <row r="30">
      <c r="D30" s="9" t="n"/>
    </row>
    <row r="31">
      <c r="D31" s="9" t="n"/>
    </row>
    <row r="32">
      <c r="D32" s="9" t="n"/>
    </row>
    <row r="33">
      <c r="D33" s="9" t="n"/>
    </row>
    <row r="34">
      <c r="D34" s="9" t="n"/>
    </row>
    <row r="35">
      <c r="D35" s="9" t="n"/>
    </row>
    <row r="36">
      <c r="D36" s="9" t="n"/>
    </row>
    <row r="37">
      <c r="D37" s="9" t="n"/>
    </row>
    <row r="38">
      <c r="D38" s="9" t="n"/>
    </row>
    <row r="39">
      <c r="D39" s="9" t="n"/>
    </row>
    <row r="40">
      <c r="D40" s="9" t="n"/>
    </row>
    <row r="41">
      <c r="D41" s="9" t="n"/>
    </row>
    <row r="42">
      <c r="D42" s="9" t="n"/>
    </row>
    <row r="43">
      <c r="D43" s="9" t="n"/>
    </row>
    <row r="44">
      <c r="D44" s="9" t="n"/>
    </row>
    <row r="45">
      <c r="D45" s="9" t="n"/>
    </row>
    <row r="46">
      <c r="D46" s="9" t="n"/>
    </row>
    <row r="47">
      <c r="D47" s="9" t="n"/>
    </row>
    <row r="48">
      <c r="D48" s="9" t="n"/>
    </row>
    <row r="49">
      <c r="D49" s="9" t="n"/>
    </row>
  </sheetData>
  <mergeCells count="2">
    <mergeCell ref="A18:B18"/>
    <mergeCell ref="A2:C2"/>
  </mergeCells>
  <hyperlinks>
    <hyperlink ref="D3"/>
    <hyperlink ref="D4"/>
    <hyperlink ref="D5"/>
    <hyperlink ref="D6"/>
    <hyperlink ref="D7"/>
    <hyperlink ref="D8"/>
    <hyperlink ref="D9"/>
    <hyperlink ref="D10"/>
    <hyperlink ref="D11"/>
    <hyperlink ref="D12"/>
    <hyperlink xmlns:r="http://schemas.openxmlformats.org/officeDocument/2006/relationships" ref="D1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2025-10-14T06:52:06Z</dcterms:created>
  <dcterms:modified xmlns:dcterms="http://purl.org/dc/terms/" xmlns:xsi="http://www.w3.org/2001/XMLSchema-instance" xsi:type="dcterms:W3CDTF">2025-10-14T06:52:06Z</dcterms:modified>
</cp:coreProperties>
</file>